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งาน" sheetId="1" r:id="rId4"/>
    <sheet state="visible" name="สรุป" sheetId="2" r:id="rId5"/>
  </sheets>
  <definedNames/>
  <calcPr/>
  <extLst>
    <ext uri="GoogleSheetsCustomDataVersion2">
      <go:sheetsCustomData xmlns:go="http://customooxmlschemas.google.com/" r:id="rId6" roundtripDataChecksum="Htm16H4GAPT4U3rSfKnr7G6vVtPqkNVFZyLmvaE5CUo="/>
    </ext>
  </extLst>
</workbook>
</file>

<file path=xl/sharedStrings.xml><?xml version="1.0" encoding="utf-8"?>
<sst xmlns="http://schemas.openxmlformats.org/spreadsheetml/2006/main" count="294" uniqueCount="161">
  <si>
    <t>QETeam_Tracking</t>
  </si>
  <si>
    <t>System Analyst (12 งาน)</t>
  </si>
  <si>
    <t>ลำดับ</t>
  </si>
  <si>
    <t>งาน</t>
  </si>
  <si>
    <t>สถานะ</t>
  </si>
  <si>
    <t>เวลา</t>
  </si>
  <si>
    <t>หมายเหตุ</t>
  </si>
  <si>
    <t>SA-01</t>
  </si>
  <si>
    <t>ออกแบบ DB สมาชิก (D1) + Feature List</t>
  </si>
  <si>
    <t>เสร็จสิ้น</t>
  </si>
  <si>
    <t>12 Jun 13.00 น.</t>
  </si>
  <si>
    <t>ย้ายจาก 9.00 น. เพราะต้องใช้เวลาทำ</t>
  </si>
  <si>
    <t>SA-02</t>
  </si>
  <si>
    <t>กำหนด API Auth (register/login)</t>
  </si>
  <si>
    <t>SA-03</t>
  </si>
  <si>
    <t>ออกแบบ DB รายการสินค้า (D2), คลังสินค่า (D3),ตะกร้า (D4)</t>
  </si>
  <si>
    <t>SA-04</t>
  </si>
  <si>
    <t>เขียน Feature รายการสินค้า + สต๊อก</t>
  </si>
  <si>
    <t>SA-05</t>
  </si>
  <si>
    <t>ออกแบบ DFD ระบบคำสั่งซื้อ</t>
  </si>
  <si>
    <t>12 Jun 15.30 น.</t>
  </si>
  <si>
    <t>ย้ายจาก 13.00 น. เพราะขั้นตอนการออกแบบก่อนหน้ายังไม่เสร็จ</t>
  </si>
  <si>
    <t>SA-06</t>
  </si>
  <si>
    <t>เขียน Feature ตะกร้า + ยืนยันคำสั่งซื้อ</t>
  </si>
  <si>
    <t>SA-07</t>
  </si>
  <si>
    <t>เขียน Feature ชำระเงิน + ใบเสร็จ</t>
  </si>
  <si>
    <t>12 Jun 20.00 น.</t>
  </si>
  <si>
    <t>SA-08</t>
  </si>
  <si>
    <t>ออกแบบสถานะจัดส่งใน D5</t>
  </si>
  <si>
    <t>SA-09</t>
  </si>
  <si>
    <t>เขียน Feature อัปเดตสถานะ + ยืนยันรับ</t>
  </si>
  <si>
    <t>SA-10</t>
  </si>
  <si>
    <t>ออกแบบระบบดึงข้อมูล D3, D4, D5,ตะกร้า (D6)</t>
  </si>
  <si>
    <t>12 Jun 22.00 น.</t>
  </si>
  <si>
    <t>SA-11</t>
  </si>
  <si>
    <t>เขียน Feature รายงานยอดขาย + สต๊อก</t>
  </si>
  <si>
    <t>SA-12</t>
  </si>
  <si>
    <t>ออกแบบ DB ที่อยู่ (D7)</t>
  </si>
  <si>
    <t>14 Jun 00.00 น.</t>
  </si>
  <si>
    <t>เพื่อให้ตะกร้าเชื่อมกับแค่ของคนนั้นๆ,และที่อยู่สามารถมีหลายที่ไได้</t>
  </si>
  <si>
    <t>UX/UI (15 งาน)</t>
  </si>
  <si>
    <t>UX-01</t>
  </si>
  <si>
    <t>หน้าสมัครสมาชิก</t>
  </si>
  <si>
    <t>เสร็จหลัง SA-01 ส่งบรีฟสเปก</t>
  </si>
  <si>
    <t>UX-02</t>
  </si>
  <si>
    <t>หน้าล็อกอิน</t>
  </si>
  <si>
    <t>13 Jun 13.00 น.</t>
  </si>
  <si>
    <t>UX-03</t>
  </si>
  <si>
    <t>หน้าโปรไฟล์ + จัดการที่อยู่</t>
  </si>
  <si>
    <t>UX-04</t>
  </si>
  <si>
    <t>หน้ารายการสินค้า (ลูกค้า)</t>
  </si>
  <si>
    <t>13 Jun 15.30 น.</t>
  </si>
  <si>
    <t>UX-05</t>
  </si>
  <si>
    <t>หน้าจัดการสินค้า (Admin)</t>
  </si>
  <si>
    <t>UX-06</t>
  </si>
  <si>
    <t>หน้าตะกร้าสินค้า</t>
  </si>
  <si>
    <t>13 Jun 20.00 น.</t>
  </si>
  <si>
    <t>UX-07</t>
  </si>
  <si>
    <t>หน้ายืนยันคำสั่งซื้อ</t>
  </si>
  <si>
    <t>UX-08</t>
  </si>
  <si>
    <t>หน้าชำระเงิน</t>
  </si>
  <si>
    <t>ต้องเสร็จก่อน PG-06</t>
  </si>
  <si>
    <t>UX-09</t>
  </si>
  <si>
    <t>หน้า Admin ออเดอร์</t>
  </si>
  <si>
    <t>13 Jun 10.00 น.</t>
  </si>
  <si>
    <t>UX-10</t>
  </si>
  <si>
    <t>หน้าติดตามพัสดุ</t>
  </si>
  <si>
    <t>UX-11</t>
  </si>
  <si>
    <t>หน้า Admin จัดส่ง</t>
  </si>
  <si>
    <t>UX-12</t>
  </si>
  <si>
    <t>หน้ารายงานยอดขาย</t>
  </si>
  <si>
    <t>UX-13</t>
  </si>
  <si>
    <t>หน้าสรุปสต๊อก</t>
  </si>
  <si>
    <t>UX-14</t>
  </si>
  <si>
    <t>หน้า Dashboard หลัก Admin</t>
  </si>
  <si>
    <t>UX-15</t>
  </si>
  <si>
    <t>14 Jun 02.00 น.</t>
  </si>
  <si>
    <t>ออกแบบหน้า ui เพิ่มที่อยู่ให้สอดคล้องกับ DB ที่อยู่ (D6)</t>
  </si>
  <si>
    <t>Programmer (17 งาน)</t>
  </si>
  <si>
    <t>PG-01</t>
  </si>
  <si>
    <t>หลัง UX-01 เสร็จ 2.5 ชม.</t>
  </si>
  <si>
    <t>PG-02</t>
  </si>
  <si>
    <t>หน้าล็อกอิน (Customer + Admin)</t>
  </si>
  <si>
    <t>PG-03</t>
  </si>
  <si>
    <t>หน้าโปรไฟล์ + แก้ไขที่อยู่</t>
  </si>
  <si>
    <t>PG-04</t>
  </si>
  <si>
    <t>หน้าแสดงรายการสินค้า</t>
  </si>
  <si>
    <t>ขยับหนีเวลาชนกับงานเทส</t>
  </si>
  <si>
    <t>PG-05</t>
  </si>
  <si>
    <t>PG-06</t>
  </si>
  <si>
    <t>PG-07</t>
  </si>
  <si>
    <t>หน้าจัดการสต๊อก</t>
  </si>
  <si>
    <t>PG-08</t>
  </si>
  <si>
    <t>PG-09</t>
  </si>
  <si>
    <t>PG-10</t>
  </si>
  <si>
    <t>PG-11</t>
  </si>
  <si>
    <t>หน้า Admin อัปเดตสถานะจัดส่ง</t>
  </si>
  <si>
    <t>PG-12</t>
  </si>
  <si>
    <t>ระบบอัปเดตสถานะคำสั่งซื้อ</t>
  </si>
  <si>
    <t>PG-13</t>
  </si>
  <si>
    <t>หน้าสรุปคำสั่งซื้อ</t>
  </si>
  <si>
    <t>PG-14</t>
  </si>
  <si>
    <t>หน้าติดตามพัสดุ + ยืนยันรับสินค้า</t>
  </si>
  <si>
    <t>PG-15</t>
  </si>
  <si>
    <t>หน้ารายงานสรุปยอดขาย</t>
  </si>
  <si>
    <t>PG-16</t>
  </si>
  <si>
    <t>PG-17</t>
  </si>
  <si>
    <t>แก้ไข ui ตามที่ ux/ui ออกแบบการแก้ไขให้สามารถเพิ่มที่อยู่ได้หลายที่</t>
  </si>
  <si>
    <t>Tester (18 งาน)</t>
  </si>
  <si>
    <t>TS-01</t>
  </si>
  <si>
    <t>ทดสอบสมัครสมาชิก</t>
  </si>
  <si>
    <t>TS-02</t>
  </si>
  <si>
    <t>ทดสอบล็อกอิน</t>
  </si>
  <si>
    <t>TS-03</t>
  </si>
  <si>
    <t>ทดสอบหน้าโปรไฟล์</t>
  </si>
  <si>
    <t>ขยับหนีจาก 12 Jun 20.00 น. เพราะโค้ดเพิ่งเสร็จ</t>
  </si>
  <si>
    <t>TS-04</t>
  </si>
  <si>
    <t>ทดสอบจัดการที่อยู่</t>
  </si>
  <si>
    <t>TS-05</t>
  </si>
  <si>
    <t>ทดสอบแสดงรายการสินค้า</t>
  </si>
  <si>
    <t>TS-06</t>
  </si>
  <si>
    <t>ทดสอบตะกร้าสินค้า</t>
  </si>
  <si>
    <t>กำลังเริ่ม</t>
  </si>
  <si>
    <t>เหลือกดลบสินค้าแล้วขึ้นแจ้งเตือนยืนยันที่จะลบสินค้าในตะกร้า</t>
  </si>
  <si>
    <t>TS-07</t>
  </si>
  <si>
    <t>ทดสอบยืนยันคำสั่งซื้อ</t>
  </si>
  <si>
    <t>ขยับจาก 13 Jun 15.30 น. เพราะโค้ดเพิ่งเสร็จรอบบ่าย</t>
  </si>
  <si>
    <t>TS-08</t>
  </si>
  <si>
    <t>ทดสอบหน้าสรุปคำสั่งซื้อ</t>
  </si>
  <si>
    <t>เหลือขึ้นข้อมูลสินค้าที่ที่กดยืนยันสั่งซื้อสำเร็จ</t>
  </si>
  <si>
    <t>TS-09</t>
  </si>
  <si>
    <t>ทดสอบอัปเดตสถานะคำสั่งซื้อ</t>
  </si>
  <si>
    <t>ยังไม่เริ่ม</t>
  </si>
  <si>
    <t>TS-10</t>
  </si>
  <si>
    <t>ทดสอบการชำระเงิน</t>
  </si>
  <si>
    <t>TS-11</t>
  </si>
  <si>
    <t>ทดสอบจัดการสินค้า (Admin)</t>
  </si>
  <si>
    <t>TS-12</t>
  </si>
  <si>
    <t>ทดสอบจัดการสต๊อก</t>
  </si>
  <si>
    <t>TS-13</t>
  </si>
  <si>
    <t>ทดสอบอัปเดตสถานะจัดส่ง</t>
  </si>
  <si>
    <t>TS-14</t>
  </si>
  <si>
    <t>ทดสอบยืนยันรับสินค้า</t>
  </si>
  <si>
    <t>TS-15</t>
  </si>
  <si>
    <t>ทดสอบรายงานยอดขาย</t>
  </si>
  <si>
    <t>TS-16</t>
  </si>
  <si>
    <t>ทดสอบรายงานสต๊อก</t>
  </si>
  <si>
    <t>TS-17</t>
  </si>
  <si>
    <t>ทดสอบหน้าโปรไฟล์ + แก้ไขที่อยู่</t>
  </si>
  <si>
    <t>ทดสอบจากที่ Programmer แก้ไขให้สามารถเพิ่มที่อยู่หลายที่ได้</t>
  </si>
  <si>
    <t>สรุปจำนวนงาน</t>
  </si>
  <si>
    <t>ตำแหน่ง</t>
  </si>
  <si>
    <t>ทั้งหมด</t>
  </si>
  <si>
    <t>เสร็จ</t>
  </si>
  <si>
    <t>ค้าง</t>
  </si>
  <si>
    <t>ความคืบหน้า (%)</t>
  </si>
  <si>
    <t>System Analyst</t>
  </si>
  <si>
    <t>UX/UI</t>
  </si>
  <si>
    <t>Programmer</t>
  </si>
  <si>
    <t>Tester</t>
  </si>
  <si>
    <t>รวม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</si>
</sst>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/>
    <font>
      <color theme="1"/>
      <name val="Calibri"/>
      <scheme val="minor"/>
    </font>
    <font>
      <color rgb="FF1F1F1F"/>
      <name val="&quot;Google Sans Text&quot;"/>
    </font>
    <font>
      <sz val="11.0"/>
      <color rgb="FF1F1F1F"/>
      <name val="Google Sans Text"/>
    </font>
    <font>
      <sz val="11.0"/>
      <color theme="1"/>
      <name val="Calibri"/>
    </font>
    <font>
      <b/>
      <color rgb="FF1F1F1F"/>
      <name val="&quot;Google Sans Text&quot;"/>
    </font>
    <font>
      <i/>
      <color rgb="FF1F1F1F"/>
      <name val="&quot;Google Sans Text&quot;"/>
    </font>
    <font>
      <i/>
      <sz val="11.0"/>
      <color rgb="FF1F1F1F"/>
      <name val="Google Sans Text"/>
    </font>
    <font>
      <b/>
      <sz val="12.0"/>
      <color rgb="FFFFFFFF"/>
      <name val="Calibri"/>
      <scheme val="minor"/>
    </font>
    <font>
      <b/>
      <sz val="11.0"/>
      <color rgb="FF1F1F1F"/>
      <name val="Google Sans Text"/>
    </font>
    <font>
      <b/>
      <sz val="11.0"/>
      <color theme="1"/>
      <name val="Calibri"/>
      <scheme val="minor"/>
    </font>
    <font>
      <b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2F5496"/>
        <bgColor rgb="FF2F5496"/>
      </patternFill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left" readingOrder="0" shrinkToFit="0" vertical="center" wrapText="1"/>
    </xf>
    <xf borderId="4" fillId="0" fontId="3" numFmtId="0" xfId="0" applyBorder="1" applyFont="1"/>
    <xf borderId="4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vertical="bottom"/>
    </xf>
    <xf borderId="4" fillId="0" fontId="6" numFmtId="0" xfId="0" applyAlignment="1" applyBorder="1" applyFont="1">
      <alignment shrinkToFit="0" vertical="center" wrapText="1"/>
    </xf>
    <xf borderId="0" fillId="0" fontId="4" numFmtId="0" xfId="0" applyFont="1"/>
    <xf borderId="0" fillId="0" fontId="6" numFmtId="0" xfId="0" applyAlignment="1" applyFont="1">
      <alignment vertical="bottom"/>
    </xf>
    <xf borderId="4" fillId="0" fontId="6" numFmtId="0" xfId="0" applyAlignment="1" applyBorder="1" applyFont="1">
      <alignment horizontal="center" readingOrder="0" vertical="center"/>
    </xf>
    <xf borderId="1" fillId="4" fontId="10" numFmtId="0" xfId="0" applyAlignment="1" applyBorder="1" applyFill="1" applyFont="1">
      <alignment horizontal="left" readingOrder="0" vertical="center"/>
    </xf>
    <xf borderId="4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 readingOrder="0"/>
    </xf>
    <xf borderId="1" fillId="5" fontId="10" numFmtId="0" xfId="0" applyAlignment="1" applyBorder="1" applyFill="1" applyFont="1">
      <alignment horizontal="left" readingOrder="0" vertical="center"/>
    </xf>
    <xf borderId="1" fillId="6" fontId="10" numFmtId="0" xfId="0" applyAlignment="1" applyBorder="1" applyFill="1" applyFont="1">
      <alignment horizontal="left" readingOrder="0" vertical="center"/>
    </xf>
    <xf borderId="0" fillId="7" fontId="3" numFmtId="0" xfId="0" applyAlignment="1" applyFill="1" applyFont="1">
      <alignment readingOrder="0"/>
    </xf>
    <xf borderId="0" fillId="0" fontId="11" numFmtId="0" xfId="0" applyAlignment="1" applyFont="1">
      <alignment vertical="bottom"/>
    </xf>
    <xf borderId="1" fillId="3" fontId="1" numFmtId="0" xfId="0" applyAlignment="1" applyBorder="1" applyFont="1">
      <alignment horizontal="center" shrinkToFit="0" vertical="center" wrapText="1"/>
    </xf>
    <xf borderId="4" fillId="0" fontId="3" numFmtId="10" xfId="0" applyBorder="1" applyFont="1" applyNumberFormat="1"/>
    <xf borderId="4" fillId="8" fontId="12" numFmtId="0" xfId="0" applyAlignment="1" applyBorder="1" applyFill="1" applyFont="1">
      <alignment horizontal="center" vertical="center"/>
    </xf>
    <xf borderId="4" fillId="8" fontId="13" numFmtId="0" xfId="0" applyAlignment="1" applyBorder="1" applyFont="1">
      <alignment horizontal="center" vertical="center"/>
    </xf>
    <xf borderId="4" fillId="9" fontId="3" numFmtId="10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2.86"/>
    <col customWidth="1" min="3" max="3" width="14.0"/>
    <col customWidth="1" min="4" max="4" width="14.71"/>
    <col customWidth="1" min="5" max="5" width="61.57"/>
    <col customWidth="1" min="6" max="6" width="14.29"/>
    <col customWidth="1" min="7" max="7" width="43.43"/>
    <col customWidth="1" min="8" max="8" width="80.71"/>
    <col customWidth="1" min="9" max="9" width="86.71"/>
    <col customWidth="1" min="10" max="10" width="16.86"/>
    <col customWidth="1" min="11" max="11" width="19.0"/>
    <col customWidth="1" min="12" max="12" width="18.29"/>
    <col customWidth="1" min="13" max="26" width="8.71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2"/>
      <c r="C2" s="2"/>
      <c r="D2" s="2"/>
      <c r="E2" s="3"/>
    </row>
    <row r="3">
      <c r="A3" s="5" t="s">
        <v>2</v>
      </c>
      <c r="B3" s="5" t="s">
        <v>3</v>
      </c>
      <c r="C3" s="5" t="s">
        <v>4</v>
      </c>
      <c r="D3" s="6" t="s">
        <v>5</v>
      </c>
      <c r="E3" s="6" t="s">
        <v>6</v>
      </c>
      <c r="G3" s="7"/>
      <c r="H3" s="7"/>
      <c r="I3" s="7"/>
      <c r="J3" s="7"/>
      <c r="K3" s="7"/>
      <c r="L3" s="8"/>
    </row>
    <row r="4">
      <c r="A4" s="9" t="s">
        <v>7</v>
      </c>
      <c r="B4" s="10" t="s">
        <v>8</v>
      </c>
      <c r="C4" s="10" t="s">
        <v>9</v>
      </c>
      <c r="D4" s="10" t="s">
        <v>10</v>
      </c>
      <c r="E4" s="6" t="s">
        <v>11</v>
      </c>
      <c r="G4" s="11"/>
      <c r="H4" s="7"/>
      <c r="I4" s="7"/>
      <c r="J4" s="11"/>
      <c r="K4" s="12"/>
      <c r="L4" s="13"/>
    </row>
    <row r="5">
      <c r="A5" s="9" t="s">
        <v>12</v>
      </c>
      <c r="B5" s="14" t="s">
        <v>13</v>
      </c>
      <c r="C5" s="10" t="s">
        <v>9</v>
      </c>
      <c r="D5" s="10" t="s">
        <v>10</v>
      </c>
      <c r="E5" s="5"/>
      <c r="G5" s="11"/>
      <c r="H5" s="7"/>
      <c r="I5" s="7"/>
      <c r="J5" s="11"/>
      <c r="K5" s="15"/>
      <c r="L5" s="16"/>
    </row>
    <row r="6">
      <c r="A6" s="9" t="s">
        <v>14</v>
      </c>
      <c r="B6" s="10" t="s">
        <v>15</v>
      </c>
      <c r="C6" s="10" t="s">
        <v>9</v>
      </c>
      <c r="D6" s="10" t="s">
        <v>10</v>
      </c>
      <c r="E6" s="5"/>
      <c r="G6" s="11"/>
      <c r="H6" s="7"/>
      <c r="I6" s="7"/>
      <c r="J6" s="11"/>
      <c r="K6" s="15"/>
      <c r="L6" s="16"/>
    </row>
    <row r="7">
      <c r="A7" s="9" t="s">
        <v>16</v>
      </c>
      <c r="B7" s="14" t="s">
        <v>17</v>
      </c>
      <c r="C7" s="10" t="s">
        <v>9</v>
      </c>
      <c r="D7" s="10" t="s">
        <v>10</v>
      </c>
      <c r="E7" s="5"/>
      <c r="G7" s="11"/>
      <c r="H7" s="7"/>
      <c r="I7" s="7"/>
      <c r="J7" s="7"/>
      <c r="K7" s="15"/>
      <c r="L7" s="16"/>
    </row>
    <row r="8">
      <c r="A8" s="9" t="s">
        <v>18</v>
      </c>
      <c r="B8" s="14" t="s">
        <v>19</v>
      </c>
      <c r="C8" s="10" t="s">
        <v>9</v>
      </c>
      <c r="D8" s="10" t="s">
        <v>20</v>
      </c>
      <c r="E8" s="6" t="s">
        <v>21</v>
      </c>
      <c r="G8" s="11"/>
      <c r="H8" s="7"/>
      <c r="I8" s="7"/>
      <c r="J8" s="11"/>
      <c r="K8" s="12"/>
      <c r="L8" s="13"/>
    </row>
    <row r="9">
      <c r="A9" s="9" t="s">
        <v>22</v>
      </c>
      <c r="B9" s="14" t="s">
        <v>23</v>
      </c>
      <c r="C9" s="10" t="s">
        <v>9</v>
      </c>
      <c r="D9" s="10" t="s">
        <v>20</v>
      </c>
      <c r="E9" s="5"/>
      <c r="G9" s="11"/>
      <c r="H9" s="7"/>
      <c r="I9" s="7"/>
      <c r="J9" s="11"/>
      <c r="K9" s="15"/>
      <c r="L9" s="16"/>
    </row>
    <row r="10">
      <c r="A10" s="9" t="s">
        <v>24</v>
      </c>
      <c r="B10" s="14" t="s">
        <v>25</v>
      </c>
      <c r="C10" s="10" t="s">
        <v>9</v>
      </c>
      <c r="D10" s="10" t="s">
        <v>26</v>
      </c>
      <c r="E10" s="5"/>
      <c r="G10" s="11"/>
      <c r="H10" s="7"/>
      <c r="I10" s="7"/>
      <c r="J10" s="7"/>
      <c r="K10" s="15"/>
      <c r="L10" s="16"/>
    </row>
    <row r="11">
      <c r="A11" s="9" t="s">
        <v>27</v>
      </c>
      <c r="B11" s="10" t="s">
        <v>28</v>
      </c>
      <c r="C11" s="10" t="s">
        <v>9</v>
      </c>
      <c r="D11" s="10" t="s">
        <v>26</v>
      </c>
      <c r="E11" s="5"/>
      <c r="G11" s="11"/>
      <c r="H11" s="7"/>
      <c r="I11" s="7"/>
      <c r="J11" s="11"/>
      <c r="K11" s="15"/>
      <c r="L11" s="16"/>
    </row>
    <row r="12">
      <c r="A12" s="9" t="s">
        <v>29</v>
      </c>
      <c r="B12" s="14" t="s">
        <v>30</v>
      </c>
      <c r="C12" s="10" t="s">
        <v>9</v>
      </c>
      <c r="D12" s="10" t="s">
        <v>26</v>
      </c>
      <c r="E12" s="5"/>
      <c r="G12" s="11"/>
      <c r="H12" s="7"/>
      <c r="I12" s="7"/>
      <c r="J12" s="11"/>
      <c r="K12" s="15"/>
      <c r="L12" s="16"/>
    </row>
    <row r="13">
      <c r="A13" s="9" t="s">
        <v>31</v>
      </c>
      <c r="B13" s="10" t="s">
        <v>32</v>
      </c>
      <c r="C13" s="10" t="s">
        <v>9</v>
      </c>
      <c r="D13" s="10" t="s">
        <v>33</v>
      </c>
      <c r="E13" s="5"/>
      <c r="G13" s="11"/>
      <c r="H13" s="7"/>
      <c r="I13" s="7"/>
      <c r="J13" s="7"/>
      <c r="K13" s="15"/>
      <c r="L13" s="16"/>
    </row>
    <row r="14">
      <c r="A14" s="9" t="s">
        <v>34</v>
      </c>
      <c r="B14" s="14" t="s">
        <v>35</v>
      </c>
      <c r="C14" s="10" t="s">
        <v>9</v>
      </c>
      <c r="D14" s="10" t="s">
        <v>33</v>
      </c>
      <c r="E14" s="5"/>
      <c r="G14" s="11"/>
      <c r="H14" s="7"/>
      <c r="I14" s="7"/>
      <c r="J14" s="11"/>
      <c r="K14" s="12"/>
      <c r="L14" s="13"/>
    </row>
    <row r="15">
      <c r="A15" s="17" t="s">
        <v>36</v>
      </c>
      <c r="B15" s="10" t="s">
        <v>37</v>
      </c>
      <c r="C15" s="10" t="s">
        <v>9</v>
      </c>
      <c r="D15" s="10" t="s">
        <v>38</v>
      </c>
      <c r="E15" s="6" t="s">
        <v>39</v>
      </c>
      <c r="G15" s="11"/>
      <c r="H15" s="7"/>
      <c r="I15" s="7"/>
      <c r="J15" s="11"/>
      <c r="K15" s="12"/>
      <c r="L15" s="13"/>
    </row>
    <row r="17">
      <c r="A17" s="18" t="s">
        <v>40</v>
      </c>
      <c r="B17" s="2"/>
      <c r="C17" s="2"/>
      <c r="D17" s="2"/>
      <c r="E17" s="3"/>
    </row>
    <row r="18">
      <c r="A18" s="5" t="s">
        <v>2</v>
      </c>
      <c r="B18" s="5" t="s">
        <v>3</v>
      </c>
      <c r="C18" s="5" t="s">
        <v>4</v>
      </c>
      <c r="D18" s="6" t="s">
        <v>5</v>
      </c>
      <c r="E18" s="6" t="s">
        <v>6</v>
      </c>
      <c r="G18" s="7"/>
      <c r="H18" s="7"/>
      <c r="I18" s="7"/>
      <c r="J18" s="7"/>
      <c r="K18" s="7"/>
    </row>
    <row r="19">
      <c r="A19" s="9" t="s">
        <v>41</v>
      </c>
      <c r="B19" s="14" t="s">
        <v>42</v>
      </c>
      <c r="C19" s="10" t="s">
        <v>9</v>
      </c>
      <c r="D19" s="10" t="s">
        <v>10</v>
      </c>
      <c r="E19" s="6" t="s">
        <v>43</v>
      </c>
      <c r="G19" s="11"/>
      <c r="H19" s="7"/>
      <c r="I19" s="7"/>
      <c r="J19" s="11"/>
      <c r="K19" s="12"/>
    </row>
    <row r="20">
      <c r="A20" s="9" t="s">
        <v>44</v>
      </c>
      <c r="B20" s="14" t="s">
        <v>45</v>
      </c>
      <c r="C20" s="10" t="s">
        <v>9</v>
      </c>
      <c r="D20" s="10" t="s">
        <v>46</v>
      </c>
      <c r="E20" s="5"/>
      <c r="G20" s="11"/>
      <c r="H20" s="7"/>
      <c r="I20" s="7"/>
      <c r="J20" s="11"/>
      <c r="K20" s="15"/>
    </row>
    <row r="21" ht="15.75" customHeight="1">
      <c r="A21" s="9" t="s">
        <v>47</v>
      </c>
      <c r="B21" s="14" t="s">
        <v>48</v>
      </c>
      <c r="C21" s="10" t="s">
        <v>9</v>
      </c>
      <c r="D21" s="10" t="s">
        <v>20</v>
      </c>
      <c r="E21" s="5"/>
      <c r="G21" s="11"/>
      <c r="H21" s="7"/>
      <c r="I21" s="7"/>
      <c r="J21" s="11"/>
      <c r="K21" s="15"/>
    </row>
    <row r="22" ht="15.75" customHeight="1">
      <c r="A22" s="9" t="s">
        <v>49</v>
      </c>
      <c r="B22" s="14" t="s">
        <v>50</v>
      </c>
      <c r="C22" s="10" t="s">
        <v>9</v>
      </c>
      <c r="D22" s="10" t="s">
        <v>51</v>
      </c>
      <c r="E22" s="5"/>
      <c r="G22" s="11"/>
      <c r="H22" s="7"/>
      <c r="I22" s="7"/>
      <c r="J22" s="11"/>
      <c r="K22" s="15"/>
    </row>
    <row r="23" ht="15.75" customHeight="1">
      <c r="A23" s="9" t="s">
        <v>52</v>
      </c>
      <c r="B23" s="14" t="s">
        <v>53</v>
      </c>
      <c r="C23" s="10" t="s">
        <v>9</v>
      </c>
      <c r="D23" s="10" t="s">
        <v>26</v>
      </c>
      <c r="E23" s="5"/>
      <c r="G23" s="11"/>
      <c r="H23" s="7"/>
      <c r="I23" s="7"/>
      <c r="J23" s="11"/>
      <c r="K23" s="15"/>
    </row>
    <row r="24" ht="15.75" customHeight="1">
      <c r="A24" s="9" t="s">
        <v>54</v>
      </c>
      <c r="B24" s="14" t="s">
        <v>55</v>
      </c>
      <c r="C24" s="10" t="s">
        <v>9</v>
      </c>
      <c r="D24" s="10" t="s">
        <v>56</v>
      </c>
      <c r="E24" s="5"/>
      <c r="G24" s="11"/>
      <c r="H24" s="7"/>
      <c r="I24" s="7"/>
      <c r="J24" s="11"/>
      <c r="K24" s="15"/>
    </row>
    <row r="25" ht="15.75" customHeight="1">
      <c r="A25" s="9" t="s">
        <v>57</v>
      </c>
      <c r="B25" s="14" t="s">
        <v>58</v>
      </c>
      <c r="C25" s="10" t="s">
        <v>9</v>
      </c>
      <c r="D25" s="10" t="s">
        <v>33</v>
      </c>
      <c r="E25" s="5"/>
      <c r="G25" s="11"/>
      <c r="H25" s="7"/>
      <c r="I25" s="7"/>
      <c r="J25" s="11"/>
      <c r="K25" s="15"/>
    </row>
    <row r="26" ht="15.75" customHeight="1">
      <c r="A26" s="9" t="s">
        <v>59</v>
      </c>
      <c r="B26" s="10" t="s">
        <v>60</v>
      </c>
      <c r="C26" s="10" t="s">
        <v>9</v>
      </c>
      <c r="D26" s="10" t="s">
        <v>33</v>
      </c>
      <c r="E26" s="6" t="s">
        <v>61</v>
      </c>
      <c r="G26" s="11"/>
      <c r="H26" s="7"/>
      <c r="I26" s="7"/>
      <c r="J26" s="11"/>
      <c r="K26" s="12"/>
    </row>
    <row r="27" ht="15.75" customHeight="1">
      <c r="A27" s="9" t="s">
        <v>62</v>
      </c>
      <c r="B27" s="10" t="s">
        <v>63</v>
      </c>
      <c r="C27" s="10" t="s">
        <v>9</v>
      </c>
      <c r="D27" s="10" t="s">
        <v>64</v>
      </c>
      <c r="E27" s="5"/>
      <c r="G27" s="11"/>
      <c r="H27" s="7"/>
      <c r="I27" s="7"/>
      <c r="J27" s="7"/>
      <c r="K27" s="15"/>
    </row>
    <row r="28" ht="15.75" customHeight="1">
      <c r="A28" s="19" t="s">
        <v>65</v>
      </c>
      <c r="B28" s="14" t="s">
        <v>66</v>
      </c>
      <c r="C28" s="10" t="s">
        <v>9</v>
      </c>
      <c r="D28" s="10" t="s">
        <v>51</v>
      </c>
      <c r="E28" s="5"/>
      <c r="G28" s="11"/>
      <c r="H28" s="7"/>
      <c r="I28" s="7"/>
      <c r="J28" s="7"/>
      <c r="K28" s="15"/>
    </row>
    <row r="29" ht="15.75" customHeight="1">
      <c r="A29" s="19" t="s">
        <v>67</v>
      </c>
      <c r="B29" s="14" t="s">
        <v>68</v>
      </c>
      <c r="C29" s="10" t="s">
        <v>9</v>
      </c>
      <c r="D29" s="10" t="s">
        <v>51</v>
      </c>
      <c r="E29" s="5"/>
      <c r="G29" s="11"/>
      <c r="H29" s="7"/>
      <c r="I29" s="7"/>
      <c r="J29" s="7"/>
      <c r="K29" s="15"/>
    </row>
    <row r="30" ht="15.75" customHeight="1">
      <c r="A30" s="19" t="s">
        <v>69</v>
      </c>
      <c r="B30" s="14" t="s">
        <v>70</v>
      </c>
      <c r="C30" s="10" t="s">
        <v>9</v>
      </c>
      <c r="D30" s="10" t="s">
        <v>56</v>
      </c>
      <c r="E30" s="5"/>
      <c r="G30" s="11"/>
      <c r="H30" s="7"/>
      <c r="I30" s="7"/>
      <c r="J30" s="7"/>
      <c r="K30" s="15"/>
    </row>
    <row r="31" ht="15.75" customHeight="1">
      <c r="A31" s="19" t="s">
        <v>71</v>
      </c>
      <c r="B31" s="14" t="s">
        <v>72</v>
      </c>
      <c r="C31" s="10" t="s">
        <v>9</v>
      </c>
      <c r="D31" s="10" t="s">
        <v>38</v>
      </c>
      <c r="E31" s="5"/>
      <c r="G31" s="11"/>
      <c r="H31" s="7"/>
      <c r="I31" s="7"/>
      <c r="J31" s="11"/>
      <c r="K31" s="12"/>
    </row>
    <row r="32" ht="15.75" customHeight="1">
      <c r="A32" s="19" t="s">
        <v>73</v>
      </c>
      <c r="B32" s="14" t="s">
        <v>74</v>
      </c>
      <c r="C32" s="10" t="s">
        <v>9</v>
      </c>
      <c r="D32" s="10" t="s">
        <v>38</v>
      </c>
      <c r="E32" s="5"/>
      <c r="G32" s="11"/>
      <c r="H32" s="7"/>
      <c r="I32" s="7"/>
      <c r="J32" s="11"/>
      <c r="K32" s="15"/>
    </row>
    <row r="33" ht="15.75" customHeight="1">
      <c r="A33" s="20" t="s">
        <v>75</v>
      </c>
      <c r="B33" s="10" t="s">
        <v>48</v>
      </c>
      <c r="C33" s="10" t="s">
        <v>9</v>
      </c>
      <c r="D33" s="10" t="s">
        <v>76</v>
      </c>
      <c r="E33" s="6" t="s">
        <v>77</v>
      </c>
      <c r="G33" s="11"/>
      <c r="H33" s="7"/>
      <c r="I33" s="7"/>
      <c r="J33" s="11"/>
      <c r="K33" s="15"/>
    </row>
    <row r="34" ht="15.75" customHeight="1"/>
    <row r="35" ht="15.75" customHeight="1">
      <c r="A35" s="21" t="s">
        <v>78</v>
      </c>
      <c r="B35" s="2"/>
      <c r="C35" s="2"/>
      <c r="D35" s="2"/>
      <c r="E35" s="3"/>
    </row>
    <row r="36" ht="15.75" customHeight="1">
      <c r="A36" s="5" t="s">
        <v>2</v>
      </c>
      <c r="B36" s="5" t="s">
        <v>3</v>
      </c>
      <c r="C36" s="5" t="s">
        <v>4</v>
      </c>
      <c r="D36" s="6" t="s">
        <v>5</v>
      </c>
      <c r="E36" s="6" t="s">
        <v>6</v>
      </c>
      <c r="G36" s="7"/>
      <c r="H36" s="7"/>
      <c r="I36" s="7"/>
      <c r="J36" s="7"/>
      <c r="K36" s="7"/>
    </row>
    <row r="37" ht="15.75" customHeight="1">
      <c r="A37" s="9" t="s">
        <v>79</v>
      </c>
      <c r="B37" s="14" t="s">
        <v>42</v>
      </c>
      <c r="C37" s="10" t="s">
        <v>9</v>
      </c>
      <c r="D37" s="10" t="s">
        <v>20</v>
      </c>
      <c r="E37" s="6" t="s">
        <v>80</v>
      </c>
      <c r="G37" s="11"/>
      <c r="H37" s="7"/>
      <c r="I37" s="7"/>
      <c r="J37" s="7"/>
      <c r="K37" s="7"/>
    </row>
    <row r="38" ht="15.75" customHeight="1">
      <c r="A38" s="9" t="s">
        <v>81</v>
      </c>
      <c r="B38" s="14" t="s">
        <v>82</v>
      </c>
      <c r="C38" s="10" t="s">
        <v>9</v>
      </c>
      <c r="D38" s="10" t="s">
        <v>20</v>
      </c>
      <c r="E38" s="5"/>
      <c r="G38" s="11"/>
      <c r="H38" s="7"/>
      <c r="I38" s="7"/>
      <c r="J38" s="7"/>
      <c r="K38" s="15"/>
    </row>
    <row r="39" ht="15.75" customHeight="1">
      <c r="A39" s="9" t="s">
        <v>83</v>
      </c>
      <c r="B39" s="14" t="s">
        <v>84</v>
      </c>
      <c r="C39" s="10" t="s">
        <v>9</v>
      </c>
      <c r="D39" s="10" t="s">
        <v>26</v>
      </c>
      <c r="E39" s="5"/>
      <c r="G39" s="11"/>
      <c r="H39" s="7"/>
      <c r="I39" s="7"/>
      <c r="J39" s="7"/>
      <c r="K39" s="15"/>
    </row>
    <row r="40" ht="15.75" customHeight="1">
      <c r="A40" s="9" t="s">
        <v>85</v>
      </c>
      <c r="B40" s="14" t="s">
        <v>86</v>
      </c>
      <c r="C40" s="10" t="s">
        <v>9</v>
      </c>
      <c r="D40" s="10" t="s">
        <v>33</v>
      </c>
      <c r="E40" s="6" t="s">
        <v>87</v>
      </c>
      <c r="G40" s="11"/>
      <c r="H40" s="7"/>
      <c r="I40" s="7"/>
      <c r="J40" s="11"/>
      <c r="K40" s="7"/>
    </row>
    <row r="41" ht="15.75" customHeight="1">
      <c r="A41" s="17" t="s">
        <v>88</v>
      </c>
      <c r="B41" s="14" t="s">
        <v>55</v>
      </c>
      <c r="C41" s="10" t="s">
        <v>9</v>
      </c>
      <c r="D41" s="10" t="s">
        <v>64</v>
      </c>
      <c r="E41" s="5"/>
      <c r="G41" s="11"/>
      <c r="H41" s="7"/>
      <c r="I41" s="7"/>
      <c r="J41" s="11"/>
      <c r="K41" s="7"/>
    </row>
    <row r="42" ht="15.75" customHeight="1">
      <c r="A42" s="17" t="s">
        <v>89</v>
      </c>
      <c r="B42" s="14" t="s">
        <v>60</v>
      </c>
      <c r="C42" s="10" t="s">
        <v>9</v>
      </c>
      <c r="D42" s="10" t="s">
        <v>46</v>
      </c>
      <c r="E42" s="5"/>
      <c r="G42" s="11"/>
      <c r="H42" s="7"/>
      <c r="I42" s="7"/>
      <c r="J42" s="11"/>
      <c r="K42" s="7"/>
    </row>
    <row r="43" ht="15.75" customHeight="1">
      <c r="A43" s="17" t="s">
        <v>90</v>
      </c>
      <c r="B43" s="14" t="s">
        <v>91</v>
      </c>
      <c r="C43" s="10" t="s">
        <v>9</v>
      </c>
      <c r="D43" s="10" t="s">
        <v>51</v>
      </c>
      <c r="E43" s="5"/>
      <c r="G43" s="11"/>
      <c r="H43" s="7"/>
      <c r="I43" s="7"/>
      <c r="J43" s="7"/>
      <c r="K43" s="15"/>
    </row>
    <row r="44" ht="15.75" customHeight="1">
      <c r="A44" s="9" t="s">
        <v>92</v>
      </c>
      <c r="B44" s="14" t="s">
        <v>58</v>
      </c>
      <c r="C44" s="10" t="s">
        <v>9</v>
      </c>
      <c r="D44" s="10" t="s">
        <v>51</v>
      </c>
      <c r="E44" s="5"/>
      <c r="G44" s="11"/>
      <c r="H44" s="7"/>
      <c r="I44" s="7"/>
      <c r="J44" s="7"/>
      <c r="K44" s="15"/>
    </row>
    <row r="45" ht="15.75" customHeight="1">
      <c r="A45" s="17" t="s">
        <v>93</v>
      </c>
      <c r="B45" s="14" t="s">
        <v>63</v>
      </c>
      <c r="C45" s="10" t="s">
        <v>9</v>
      </c>
      <c r="D45" s="10" t="s">
        <v>51</v>
      </c>
      <c r="E45" s="5"/>
      <c r="G45" s="11"/>
      <c r="H45" s="7"/>
      <c r="I45" s="7"/>
      <c r="J45" s="7"/>
      <c r="K45" s="15"/>
    </row>
    <row r="46" ht="15.75" customHeight="1">
      <c r="A46" s="17" t="s">
        <v>94</v>
      </c>
      <c r="B46" s="14" t="s">
        <v>53</v>
      </c>
      <c r="C46" s="10" t="s">
        <v>9</v>
      </c>
      <c r="D46" s="10" t="s">
        <v>51</v>
      </c>
      <c r="E46" s="5"/>
      <c r="G46" s="11"/>
      <c r="H46" s="7"/>
      <c r="I46" s="7"/>
      <c r="J46" s="7"/>
      <c r="K46" s="15"/>
    </row>
    <row r="47" ht="15.75" customHeight="1">
      <c r="A47" s="17" t="s">
        <v>95</v>
      </c>
      <c r="B47" s="14" t="s">
        <v>96</v>
      </c>
      <c r="C47" s="10" t="s">
        <v>9</v>
      </c>
      <c r="D47" s="10" t="s">
        <v>56</v>
      </c>
      <c r="E47" s="5"/>
      <c r="G47" s="11"/>
      <c r="H47" s="7"/>
      <c r="I47" s="7"/>
      <c r="J47" s="7"/>
      <c r="K47" s="15"/>
    </row>
    <row r="48" ht="15.75" customHeight="1">
      <c r="A48" s="17" t="s">
        <v>97</v>
      </c>
      <c r="B48" s="14" t="s">
        <v>98</v>
      </c>
      <c r="C48" s="10" t="s">
        <v>9</v>
      </c>
      <c r="D48" s="10" t="s">
        <v>56</v>
      </c>
      <c r="E48" s="5"/>
      <c r="G48" s="11"/>
      <c r="H48" s="7"/>
      <c r="I48" s="7"/>
      <c r="J48" s="7"/>
      <c r="K48" s="15"/>
    </row>
    <row r="49" ht="15.75" customHeight="1">
      <c r="A49" s="9" t="s">
        <v>99</v>
      </c>
      <c r="B49" s="14" t="s">
        <v>100</v>
      </c>
      <c r="C49" s="10" t="s">
        <v>9</v>
      </c>
      <c r="D49" s="10" t="s">
        <v>56</v>
      </c>
      <c r="E49" s="5"/>
      <c r="G49" s="11"/>
      <c r="H49" s="7"/>
      <c r="I49" s="7"/>
      <c r="J49" s="7"/>
      <c r="K49" s="15"/>
    </row>
    <row r="50" ht="15.75" customHeight="1">
      <c r="A50" s="17" t="s">
        <v>101</v>
      </c>
      <c r="B50" s="14" t="s">
        <v>102</v>
      </c>
      <c r="C50" s="10" t="s">
        <v>9</v>
      </c>
      <c r="D50" s="10" t="s">
        <v>38</v>
      </c>
      <c r="E50" s="5"/>
      <c r="G50" s="11"/>
      <c r="H50" s="7"/>
      <c r="I50" s="7"/>
      <c r="J50" s="11"/>
      <c r="K50" s="7"/>
    </row>
    <row r="51" ht="15.75" customHeight="1">
      <c r="A51" s="9" t="s">
        <v>103</v>
      </c>
      <c r="B51" s="14" t="s">
        <v>104</v>
      </c>
      <c r="C51" s="10" t="s">
        <v>9</v>
      </c>
      <c r="D51" s="10" t="s">
        <v>38</v>
      </c>
      <c r="E51" s="5"/>
      <c r="G51" s="11"/>
      <c r="H51" s="7"/>
      <c r="I51" s="7"/>
      <c r="J51" s="11"/>
      <c r="K51" s="15"/>
    </row>
    <row r="52" ht="15.75" customHeight="1">
      <c r="A52" s="9" t="s">
        <v>105</v>
      </c>
      <c r="B52" s="10" t="s">
        <v>72</v>
      </c>
      <c r="C52" s="10" t="s">
        <v>9</v>
      </c>
      <c r="D52" s="10" t="s">
        <v>38</v>
      </c>
      <c r="E52" s="5"/>
      <c r="G52" s="11"/>
      <c r="H52" s="7"/>
      <c r="I52" s="7"/>
      <c r="J52" s="11"/>
      <c r="K52" s="15"/>
    </row>
    <row r="53" ht="15.75" customHeight="1">
      <c r="A53" s="17" t="s">
        <v>106</v>
      </c>
      <c r="B53" s="10" t="s">
        <v>84</v>
      </c>
      <c r="C53" s="10" t="s">
        <v>9</v>
      </c>
      <c r="D53" s="10" t="s">
        <v>76</v>
      </c>
      <c r="E53" s="6" t="s">
        <v>107</v>
      </c>
      <c r="G53" s="11"/>
      <c r="H53" s="7"/>
      <c r="I53" s="7"/>
      <c r="J53" s="11"/>
      <c r="K53" s="15"/>
    </row>
    <row r="54" ht="15.75" customHeight="1"/>
    <row r="55" ht="15.75" customHeight="1">
      <c r="A55" s="22" t="s">
        <v>108</v>
      </c>
      <c r="B55" s="2"/>
      <c r="C55" s="2"/>
      <c r="D55" s="2"/>
      <c r="E55" s="3"/>
      <c r="G55" s="7"/>
      <c r="H55" s="7"/>
      <c r="I55" s="7"/>
      <c r="J55" s="7"/>
      <c r="K55" s="7"/>
      <c r="L55" s="7"/>
    </row>
    <row r="56" ht="15.75" customHeight="1">
      <c r="A56" s="5" t="s">
        <v>2</v>
      </c>
      <c r="B56" s="5" t="s">
        <v>3</v>
      </c>
      <c r="C56" s="5" t="s">
        <v>4</v>
      </c>
      <c r="D56" s="6" t="s">
        <v>5</v>
      </c>
      <c r="E56" s="6" t="s">
        <v>6</v>
      </c>
      <c r="G56" s="11"/>
      <c r="H56" s="11"/>
      <c r="I56" s="7"/>
      <c r="J56" s="7"/>
      <c r="K56" s="11"/>
      <c r="L56" s="11"/>
    </row>
    <row r="57" ht="15.75" customHeight="1">
      <c r="A57" s="9" t="s">
        <v>109</v>
      </c>
      <c r="B57" s="14" t="s">
        <v>110</v>
      </c>
      <c r="C57" s="10" t="s">
        <v>9</v>
      </c>
      <c r="D57" s="10" t="s">
        <v>26</v>
      </c>
      <c r="E57" s="5"/>
      <c r="G57" s="11"/>
      <c r="H57" s="11"/>
      <c r="I57" s="7"/>
      <c r="J57" s="7"/>
      <c r="K57" s="11"/>
      <c r="L57" s="11"/>
    </row>
    <row r="58" ht="15.75" customHeight="1">
      <c r="A58" s="9" t="s">
        <v>111</v>
      </c>
      <c r="B58" s="14" t="s">
        <v>112</v>
      </c>
      <c r="C58" s="10" t="s">
        <v>9</v>
      </c>
      <c r="D58" s="10" t="s">
        <v>26</v>
      </c>
      <c r="E58" s="5"/>
      <c r="G58" s="11"/>
      <c r="H58" s="11"/>
      <c r="I58" s="7"/>
      <c r="J58" s="7"/>
      <c r="K58" s="11"/>
      <c r="L58" s="11"/>
    </row>
    <row r="59" ht="15.75" customHeight="1">
      <c r="A59" s="9" t="s">
        <v>113</v>
      </c>
      <c r="B59" s="14" t="s">
        <v>114</v>
      </c>
      <c r="C59" s="10" t="s">
        <v>9</v>
      </c>
      <c r="D59" s="10" t="s">
        <v>33</v>
      </c>
      <c r="E59" s="6" t="s">
        <v>115</v>
      </c>
      <c r="G59" s="11"/>
      <c r="H59" s="11"/>
      <c r="I59" s="7"/>
      <c r="J59" s="7"/>
      <c r="K59" s="11"/>
      <c r="L59" s="11"/>
    </row>
    <row r="60" ht="15.75" customHeight="1">
      <c r="A60" s="9" t="s">
        <v>116</v>
      </c>
      <c r="B60" s="14" t="s">
        <v>117</v>
      </c>
      <c r="C60" s="10" t="s">
        <v>9</v>
      </c>
      <c r="D60" s="10" t="s">
        <v>51</v>
      </c>
      <c r="E60" s="5"/>
      <c r="G60" s="11"/>
      <c r="H60" s="11"/>
      <c r="I60" s="7"/>
      <c r="J60" s="7"/>
      <c r="K60" s="11"/>
      <c r="L60" s="11"/>
    </row>
    <row r="61" ht="15.75" customHeight="1">
      <c r="A61" s="9" t="s">
        <v>118</v>
      </c>
      <c r="B61" s="14" t="s">
        <v>119</v>
      </c>
      <c r="C61" s="10" t="s">
        <v>9</v>
      </c>
      <c r="D61" s="10" t="s">
        <v>51</v>
      </c>
      <c r="E61" s="5"/>
      <c r="G61" s="11"/>
      <c r="H61" s="11"/>
      <c r="I61" s="7"/>
      <c r="J61" s="7"/>
      <c r="K61" s="11"/>
      <c r="L61" s="11"/>
    </row>
    <row r="62" ht="15.75" customHeight="1">
      <c r="A62" s="9" t="s">
        <v>120</v>
      </c>
      <c r="B62" s="14" t="s">
        <v>121</v>
      </c>
      <c r="C62" s="10" t="s">
        <v>122</v>
      </c>
      <c r="D62" s="10" t="s">
        <v>51</v>
      </c>
      <c r="E62" s="6" t="s">
        <v>123</v>
      </c>
      <c r="F62" s="23"/>
      <c r="G62" s="11"/>
      <c r="H62" s="7"/>
      <c r="I62" s="7"/>
      <c r="J62" s="11"/>
      <c r="K62" s="11"/>
      <c r="L62" s="11"/>
    </row>
    <row r="63" ht="15.75" customHeight="1">
      <c r="A63" s="9" t="s">
        <v>124</v>
      </c>
      <c r="B63" s="10" t="s">
        <v>125</v>
      </c>
      <c r="C63" s="10" t="s">
        <v>9</v>
      </c>
      <c r="D63" s="10" t="s">
        <v>56</v>
      </c>
      <c r="E63" s="6" t="s">
        <v>126</v>
      </c>
      <c r="G63" s="11"/>
      <c r="H63" s="7"/>
      <c r="I63" s="7"/>
      <c r="J63" s="11"/>
      <c r="K63" s="7"/>
    </row>
    <row r="64" ht="15.75" customHeight="1">
      <c r="A64" s="9" t="s">
        <v>127</v>
      </c>
      <c r="B64" s="14" t="s">
        <v>128</v>
      </c>
      <c r="C64" s="10" t="s">
        <v>9</v>
      </c>
      <c r="D64" s="10" t="s">
        <v>56</v>
      </c>
      <c r="E64" s="6" t="s">
        <v>129</v>
      </c>
      <c r="F64" s="23"/>
      <c r="G64" s="11"/>
      <c r="H64" s="7"/>
      <c r="I64" s="7"/>
      <c r="J64" s="7"/>
      <c r="K64" s="15"/>
    </row>
    <row r="65" ht="15.75" customHeight="1">
      <c r="A65" s="9" t="s">
        <v>130</v>
      </c>
      <c r="B65" s="14" t="s">
        <v>131</v>
      </c>
      <c r="C65" s="10" t="s">
        <v>132</v>
      </c>
      <c r="D65" s="10" t="s">
        <v>38</v>
      </c>
      <c r="E65" s="5"/>
      <c r="G65" s="11"/>
      <c r="H65" s="7"/>
      <c r="I65" s="7"/>
      <c r="J65" s="7"/>
      <c r="K65" s="15"/>
    </row>
    <row r="66" ht="15.75" customHeight="1">
      <c r="A66" s="9" t="s">
        <v>133</v>
      </c>
      <c r="B66" s="14" t="s">
        <v>134</v>
      </c>
      <c r="C66" s="10" t="s">
        <v>9</v>
      </c>
      <c r="D66" s="10" t="s">
        <v>38</v>
      </c>
      <c r="E66" s="5"/>
      <c r="G66" s="11"/>
      <c r="H66" s="7"/>
      <c r="I66" s="7"/>
      <c r="J66" s="11"/>
      <c r="K66" s="7"/>
    </row>
    <row r="67" ht="15.75" customHeight="1">
      <c r="A67" s="9" t="s">
        <v>135</v>
      </c>
      <c r="B67" s="10" t="s">
        <v>136</v>
      </c>
      <c r="C67" s="10" t="s">
        <v>9</v>
      </c>
      <c r="D67" s="10" t="s">
        <v>38</v>
      </c>
      <c r="E67" s="5"/>
      <c r="G67" s="11"/>
      <c r="H67" s="7"/>
      <c r="I67" s="7"/>
      <c r="J67" s="11"/>
      <c r="K67" s="15"/>
    </row>
    <row r="68" ht="15.75" customHeight="1">
      <c r="A68" s="9" t="s">
        <v>137</v>
      </c>
      <c r="B68" s="10" t="s">
        <v>138</v>
      </c>
      <c r="C68" s="10" t="s">
        <v>9</v>
      </c>
      <c r="D68" s="10" t="s">
        <v>38</v>
      </c>
      <c r="E68" s="5"/>
      <c r="G68" s="11"/>
      <c r="H68" s="7"/>
      <c r="I68" s="7"/>
      <c r="J68" s="11"/>
      <c r="K68" s="15"/>
    </row>
    <row r="69" ht="15.75" customHeight="1">
      <c r="A69" s="9" t="s">
        <v>139</v>
      </c>
      <c r="B69" s="14" t="s">
        <v>140</v>
      </c>
      <c r="C69" s="10" t="s">
        <v>132</v>
      </c>
      <c r="D69" s="10" t="s">
        <v>76</v>
      </c>
      <c r="E69" s="5"/>
      <c r="G69" s="11"/>
      <c r="H69" s="7"/>
      <c r="I69" s="7"/>
      <c r="J69" s="11"/>
      <c r="K69" s="15"/>
    </row>
    <row r="70" ht="15.75" customHeight="1">
      <c r="A70" s="9" t="s">
        <v>141</v>
      </c>
      <c r="B70" s="14" t="s">
        <v>142</v>
      </c>
      <c r="C70" s="10" t="s">
        <v>132</v>
      </c>
      <c r="D70" s="10" t="s">
        <v>76</v>
      </c>
      <c r="E70" s="5"/>
      <c r="G70" s="11"/>
      <c r="H70" s="7"/>
      <c r="I70" s="7"/>
      <c r="J70" s="7"/>
      <c r="K70" s="15"/>
    </row>
    <row r="71" ht="15.75" customHeight="1">
      <c r="A71" s="9" t="s">
        <v>143</v>
      </c>
      <c r="B71" s="14" t="s">
        <v>144</v>
      </c>
      <c r="C71" s="10" t="s">
        <v>9</v>
      </c>
      <c r="D71" s="10" t="s">
        <v>76</v>
      </c>
      <c r="E71" s="5"/>
      <c r="G71" s="11"/>
      <c r="H71" s="7"/>
      <c r="I71" s="7"/>
      <c r="J71" s="7"/>
      <c r="K71" s="15"/>
    </row>
    <row r="72" ht="15.75" customHeight="1">
      <c r="A72" s="9" t="s">
        <v>145</v>
      </c>
      <c r="B72" s="14" t="s">
        <v>146</v>
      </c>
      <c r="C72" s="10" t="s">
        <v>9</v>
      </c>
      <c r="D72" s="10" t="s">
        <v>76</v>
      </c>
      <c r="E72" s="5"/>
      <c r="G72" s="11"/>
      <c r="H72" s="7"/>
      <c r="I72" s="7"/>
      <c r="J72" s="7"/>
      <c r="K72" s="15"/>
    </row>
    <row r="73" ht="15.75" customHeight="1">
      <c r="A73" s="9" t="s">
        <v>147</v>
      </c>
      <c r="B73" s="10" t="s">
        <v>148</v>
      </c>
      <c r="C73" s="10" t="s">
        <v>132</v>
      </c>
      <c r="D73" s="10" t="s">
        <v>76</v>
      </c>
      <c r="E73" s="6" t="s">
        <v>149</v>
      </c>
      <c r="G73" s="11"/>
      <c r="H73" s="7"/>
      <c r="I73" s="7"/>
      <c r="J73" s="7"/>
      <c r="K73" s="15"/>
    </row>
    <row r="74" ht="15.75" customHeight="1"/>
    <row r="75" ht="15.75" customHeight="1"/>
    <row r="76" ht="15.75" customHeight="1"/>
    <row r="77" ht="15.75" customHeight="1">
      <c r="A77" s="8"/>
      <c r="B77" s="8"/>
      <c r="C77" s="8"/>
      <c r="D77" s="8"/>
      <c r="E77" s="8"/>
      <c r="F77" s="8"/>
      <c r="G77" s="16"/>
      <c r="H77" s="16"/>
      <c r="I77" s="16"/>
      <c r="J77" s="16"/>
      <c r="K77" s="16"/>
      <c r="L77" s="16"/>
      <c r="M77" s="16"/>
    </row>
    <row r="78" ht="15.75" customHeight="1">
      <c r="A78" s="24"/>
      <c r="B78" s="24"/>
      <c r="C78" s="8"/>
      <c r="D78" s="8"/>
      <c r="E78" s="24"/>
      <c r="F78" s="24"/>
      <c r="G78" s="16"/>
      <c r="H78" s="16"/>
      <c r="I78" s="16"/>
      <c r="J78" s="16"/>
      <c r="K78" s="16"/>
      <c r="L78" s="16"/>
      <c r="M78" s="16"/>
    </row>
    <row r="79" ht="15.75" customHeight="1">
      <c r="A79" s="24"/>
      <c r="B79" s="24"/>
      <c r="C79" s="8"/>
      <c r="D79" s="8"/>
      <c r="E79" s="24"/>
      <c r="F79" s="24"/>
      <c r="G79" s="16"/>
      <c r="H79" s="16"/>
      <c r="I79" s="16"/>
      <c r="J79" s="16"/>
      <c r="K79" s="16"/>
      <c r="L79" s="16"/>
      <c r="M79" s="16"/>
    </row>
    <row r="80" ht="15.75" customHeight="1">
      <c r="A80" s="24"/>
      <c r="B80" s="24"/>
      <c r="C80" s="8"/>
      <c r="D80" s="8"/>
      <c r="E80" s="24"/>
      <c r="F80" s="24"/>
      <c r="G80" s="16"/>
      <c r="H80" s="16"/>
      <c r="I80" s="16"/>
      <c r="J80" s="16"/>
      <c r="K80" s="16"/>
      <c r="L80" s="16"/>
      <c r="M80" s="16"/>
    </row>
    <row r="81" ht="15.75" customHeight="1">
      <c r="A81" s="24"/>
      <c r="B81" s="24"/>
      <c r="C81" s="8"/>
      <c r="D81" s="8"/>
      <c r="E81" s="24"/>
      <c r="F81" s="24"/>
      <c r="G81" s="16"/>
      <c r="H81" s="16"/>
      <c r="I81" s="16"/>
      <c r="J81" s="16"/>
      <c r="K81" s="16"/>
      <c r="L81" s="16"/>
      <c r="M81" s="16"/>
    </row>
    <row r="82" ht="15.75" customHeight="1">
      <c r="A82" s="24"/>
      <c r="B82" s="24"/>
      <c r="C82" s="8"/>
      <c r="D82" s="8"/>
      <c r="E82" s="24"/>
      <c r="F82" s="24"/>
      <c r="G82" s="16"/>
      <c r="H82" s="16"/>
      <c r="I82" s="16"/>
      <c r="J82" s="16"/>
      <c r="K82" s="16"/>
      <c r="L82" s="16"/>
      <c r="M82" s="16"/>
    </row>
    <row r="83" ht="15.75" customHeight="1">
      <c r="A83" s="24"/>
      <c r="B83" s="24"/>
      <c r="C83" s="8"/>
      <c r="D83" s="8"/>
      <c r="E83" s="24"/>
      <c r="F83" s="24"/>
      <c r="G83" s="16"/>
      <c r="H83" s="16"/>
      <c r="I83" s="16"/>
      <c r="J83" s="16"/>
      <c r="K83" s="16"/>
      <c r="L83" s="16"/>
      <c r="M83" s="16"/>
    </row>
    <row r="84" ht="15.75" customHeight="1">
      <c r="A84" s="24"/>
      <c r="B84" s="8"/>
      <c r="C84" s="8"/>
      <c r="D84" s="24"/>
      <c r="E84" s="24"/>
      <c r="F84" s="24"/>
      <c r="G84" s="16"/>
      <c r="H84" s="16"/>
      <c r="I84" s="16"/>
      <c r="J84" s="16"/>
      <c r="K84" s="16"/>
      <c r="L84" s="16"/>
      <c r="M84" s="16"/>
    </row>
    <row r="85" ht="15.75" customHeight="1"/>
    <row r="86" ht="15.75" customHeight="1"/>
    <row r="87" ht="15.75" customHeight="1">
      <c r="F87" s="7"/>
      <c r="G87" s="7"/>
      <c r="H87" s="7"/>
      <c r="I87" s="7"/>
    </row>
    <row r="88" ht="15.75" customHeight="1">
      <c r="F88" s="7"/>
      <c r="G88" s="7"/>
      <c r="H88" s="7"/>
      <c r="I88" s="7"/>
    </row>
    <row r="89" ht="15.75" customHeight="1">
      <c r="F89" s="7"/>
      <c r="G89" s="7"/>
      <c r="H89" s="7"/>
      <c r="I89" s="7"/>
    </row>
    <row r="90" ht="15.75" customHeight="1">
      <c r="F90" s="7"/>
      <c r="G90" s="7"/>
      <c r="H90" s="7"/>
      <c r="I90" s="7"/>
    </row>
    <row r="91" ht="15.75" customHeight="1">
      <c r="F91" s="7"/>
      <c r="G91" s="7"/>
      <c r="H91" s="7"/>
      <c r="I91" s="7"/>
    </row>
    <row r="92" ht="15.75" customHeight="1">
      <c r="F92" s="7"/>
      <c r="G92" s="7"/>
      <c r="H92" s="7"/>
      <c r="I92" s="7"/>
    </row>
    <row r="93" ht="15.75" customHeight="1">
      <c r="F93" s="7"/>
      <c r="G93" s="7"/>
      <c r="H93" s="7"/>
      <c r="I93" s="7"/>
    </row>
    <row r="94" ht="15.75" customHeight="1">
      <c r="F94" s="7"/>
      <c r="G94" s="7"/>
      <c r="H94" s="7"/>
      <c r="I94" s="7"/>
    </row>
    <row r="95" ht="15.75" customHeight="1">
      <c r="F95" s="7"/>
      <c r="G95" s="7"/>
      <c r="H95" s="7"/>
      <c r="I95" s="7"/>
    </row>
    <row r="96" ht="15.75" customHeight="1">
      <c r="F96" s="7"/>
      <c r="G96" s="7"/>
      <c r="H96" s="7"/>
      <c r="I96" s="7"/>
    </row>
    <row r="97" ht="15.75" customHeight="1">
      <c r="F97" s="7"/>
      <c r="G97" s="7"/>
      <c r="H97" s="7"/>
      <c r="I97" s="7"/>
    </row>
    <row r="98" ht="15.75" customHeight="1">
      <c r="F98" s="7"/>
      <c r="G98" s="7"/>
      <c r="H98" s="7"/>
      <c r="I98" s="7"/>
    </row>
    <row r="99" ht="15.75" customHeight="1">
      <c r="F99" s="7"/>
      <c r="G99" s="7"/>
      <c r="H99" s="7"/>
      <c r="I99" s="7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5">
    <mergeCell ref="A1:E1"/>
    <mergeCell ref="A2:E2"/>
    <mergeCell ref="A17:E17"/>
    <mergeCell ref="A35:E35"/>
    <mergeCell ref="A55:E55"/>
  </mergeCells>
  <dataValidations>
    <dataValidation type="list" allowBlank="1" sqref="C4:C15 C19:C33 C37:C53 C57:C73">
      <formula1>"ยังไม่เริ่ม,กำลังเริ่ม,เสร็จสิ้น"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4" width="12.0"/>
    <col customWidth="1" min="5" max="5" width="22.71"/>
    <col customWidth="1" min="6" max="26" width="8.71"/>
  </cols>
  <sheetData>
    <row r="1">
      <c r="A1" s="25" t="s">
        <v>150</v>
      </c>
      <c r="B1" s="2"/>
      <c r="C1" s="2"/>
      <c r="D1" s="2"/>
      <c r="E1" s="3"/>
    </row>
    <row r="3">
      <c r="A3" s="5" t="s">
        <v>151</v>
      </c>
      <c r="B3" s="5" t="s">
        <v>152</v>
      </c>
      <c r="C3" s="5" t="s">
        <v>153</v>
      </c>
      <c r="D3" s="5" t="s">
        <v>154</v>
      </c>
      <c r="E3" s="6" t="s">
        <v>155</v>
      </c>
    </row>
    <row r="4">
      <c r="A4" s="9" t="s">
        <v>156</v>
      </c>
      <c r="B4" s="9">
        <f>COUNTIF('งาน'!A:A,"SA-*")</f>
        <v>12</v>
      </c>
      <c r="C4" s="9">
        <f>COUNTIFS('งาน'!A:A,"SA-*",'งาน'!C:C,"เสร็จสิ้น")</f>
        <v>12</v>
      </c>
      <c r="D4" s="9">
        <f t="shared" ref="D4:D7" si="1">B4-C4</f>
        <v>0</v>
      </c>
      <c r="E4" s="26">
        <f t="shared" ref="E4:E8" si="2">C4/B4</f>
        <v>1</v>
      </c>
    </row>
    <row r="5">
      <c r="A5" s="9" t="s">
        <v>157</v>
      </c>
      <c r="B5" s="9">
        <f>COUNTIF('งาน'!A:A,"UX-*")</f>
        <v>15</v>
      </c>
      <c r="C5" s="9">
        <f>COUNTIFS('งาน'!A:A,"UX-*",'งาน'!C:C,"เสร็จสิ้น")</f>
        <v>15</v>
      </c>
      <c r="D5" s="9">
        <f t="shared" si="1"/>
        <v>0</v>
      </c>
      <c r="E5" s="26">
        <f t="shared" si="2"/>
        <v>1</v>
      </c>
    </row>
    <row r="6">
      <c r="A6" s="9" t="s">
        <v>158</v>
      </c>
      <c r="B6" s="9">
        <f>COUNTIF('งาน'!A:A,"PG-*")</f>
        <v>17</v>
      </c>
      <c r="C6" s="9">
        <f>COUNTIFS('งาน'!A:A,"PG-*",'งาน'!C:C,"เสร็จสิ้น")</f>
        <v>17</v>
      </c>
      <c r="D6" s="9">
        <f t="shared" si="1"/>
        <v>0</v>
      </c>
      <c r="E6" s="26">
        <f t="shared" si="2"/>
        <v>1</v>
      </c>
    </row>
    <row r="7">
      <c r="A7" s="9" t="s">
        <v>159</v>
      </c>
      <c r="B7" s="9">
        <f>COUNTIF('งาน'!A:A,"TS-*")</f>
        <v>17</v>
      </c>
      <c r="C7" s="9">
        <f>COUNTIFS('งาน'!A:A,"TS-*",'งาน'!C:C,"เสร็จสิ้น")</f>
        <v>12</v>
      </c>
      <c r="D7" s="9">
        <f t="shared" si="1"/>
        <v>5</v>
      </c>
      <c r="E7" s="26">
        <f t="shared" si="2"/>
        <v>0.7058823529</v>
      </c>
    </row>
    <row r="8">
      <c r="A8" s="27" t="s">
        <v>160</v>
      </c>
      <c r="B8" s="28">
        <f t="shared" ref="B8:D8" si="3">SUM(B4:B7)</f>
        <v>61</v>
      </c>
      <c r="C8" s="28">
        <f t="shared" si="3"/>
        <v>56</v>
      </c>
      <c r="D8" s="28">
        <f t="shared" si="3"/>
        <v>5</v>
      </c>
      <c r="E8" s="29">
        <f t="shared" si="2"/>
        <v>0.9180327869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2026-06-13T07:20:49Z</dcterms:created>
  <dc:creator>openpyxl</dc:creator>
</cp:coreProperties>
</file>